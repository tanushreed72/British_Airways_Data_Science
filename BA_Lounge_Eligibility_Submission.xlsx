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3340186-4034-4E03-ADD3-843642CB95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unge Eligibility Lookup" sheetId="1" r:id="rId1"/>
    <sheet name="Justification" sheetId="2" r:id="rId2"/>
  </sheets>
  <calcPr calcId="191029"/>
</workbook>
</file>

<file path=xl/calcChain.xml><?xml version="1.0" encoding="utf-8"?>
<calcChain xmlns="http://schemas.openxmlformats.org/spreadsheetml/2006/main">
  <c r="J22" i="1" l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</calcChain>
</file>

<file path=xl/sharedStrings.xml><?xml version="1.0" encoding="utf-8"?>
<sst xmlns="http://schemas.openxmlformats.org/spreadsheetml/2006/main" count="170" uniqueCount="93">
  <si>
    <t>British Airways Terminal 3 — Lounge Eligibility Lookup Table  |  Summer Schedule</t>
  </si>
  <si>
    <t>Category definitions: Haul type (Short / Long) × Time-of-Day band  │  Tier 1 = First / GCH eligible (hypothetical Concorde Room)  │  Tier 2 = Business / Silver &amp; Gold Executive Club  │  Tier 3 = Economy Lounge eligible</t>
  </si>
  <si>
    <t>SECTION A — Time-of-Day Band Definitions</t>
  </si>
  <si>
    <t>Time Band</t>
  </si>
  <si>
    <t>Clock Range</t>
  </si>
  <si>
    <t>BA Label</t>
  </si>
  <si>
    <t>Typical Departure Context</t>
  </si>
  <si>
    <t>Morning</t>
  </si>
  <si>
    <t>06:00 – 11:59</t>
  </si>
  <si>
    <t>Early business / leisure departures; high Executive Club uptake</t>
  </si>
  <si>
    <t>Lunchtime</t>
  </si>
  <si>
    <t>12:00 – 13:59</t>
  </si>
  <si>
    <t>Mid-day leisure mix; moderate premium</t>
  </si>
  <si>
    <t>Afternoon</t>
  </si>
  <si>
    <t>14:00 – 17:59</t>
  </si>
  <si>
    <t>Leisure-heavy, connecting passengers</t>
  </si>
  <si>
    <t>Evening</t>
  </si>
  <si>
    <t>18:00 – 23:59</t>
  </si>
  <si>
    <t>Post-work business; high-yield passengers, evening long-haul</t>
  </si>
  <si>
    <t>SECTION B — Lounge Eligibility Lookup Table (% of Total Pax per Flight)</t>
  </si>
  <si>
    <t>⚠  NOTE:  No Concorde Room currently exists at Terminal 3. Tier 1 % represents the hypothetical / future eligible population (Gold Guest List / First Class passengers) and is provided for planning purposes only.</t>
  </si>
  <si>
    <t>Category
Code</t>
  </si>
  <si>
    <t>Haul
Type</t>
  </si>
  <si>
    <t>Avg Total
Seats/Flight</t>
  </si>
  <si>
    <t>Tier 1 %
(Hypothetical)</t>
  </si>
  <si>
    <t>Tier 2 %
(Exec Club)</t>
  </si>
  <si>
    <t>Tier 3 %
(Economy
Lounge)</t>
  </si>
  <si>
    <t>Est. Tier 1
Pax/Flight</t>
  </si>
  <si>
    <t>Est. Tier 2
Pax/Flight</t>
  </si>
  <si>
    <t>Est. Tier 3
Pax/Flight</t>
  </si>
  <si>
    <t>Data Source
(Row count)</t>
  </si>
  <si>
    <t>SH-MO</t>
  </si>
  <si>
    <t>Short-Haul</t>
  </si>
  <si>
    <t>BA Summer Schedule n=2,069</t>
  </si>
  <si>
    <t>SH-LN</t>
  </si>
  <si>
    <t>BA Summer Schedule n=757</t>
  </si>
  <si>
    <t>SH-AF</t>
  </si>
  <si>
    <t>BA Summer Schedule n=1,366</t>
  </si>
  <si>
    <t>SH-EV</t>
  </si>
  <si>
    <t>BA Summer Schedule n=1,783</t>
  </si>
  <si>
    <t>LH-MO</t>
  </si>
  <si>
    <t>Long-Haul</t>
  </si>
  <si>
    <t>BA Summer Schedule n=1,461</t>
  </si>
  <si>
    <t>LH-LN</t>
  </si>
  <si>
    <t>BA Summer Schedule n=435</t>
  </si>
  <si>
    <t>LH-AF</t>
  </si>
  <si>
    <t>BA Summer Schedule n=939</t>
  </si>
  <si>
    <t>LH-EV</t>
  </si>
  <si>
    <t>BA Summer Schedule n=1,190</t>
  </si>
  <si>
    <t>SECTION C — Sample Flight Application (16 representative flights)</t>
  </si>
  <si>
    <t>Selected across all four time bands and both haul types to validate category groupings. Tier % applied from lookup table above.</t>
  </si>
  <si>
    <t>Flight No.</t>
  </si>
  <si>
    <t>Destination</t>
  </si>
  <si>
    <t>Haul</t>
  </si>
  <si>
    <t>Total Seats</t>
  </si>
  <si>
    <t>Tier 1 %
(Hyp.)</t>
  </si>
  <si>
    <t>Tier 2 %</t>
  </si>
  <si>
    <t>Tier 3 %</t>
  </si>
  <si>
    <t>Est. T2 Pax</t>
  </si>
  <si>
    <t>Est. T3 Pax</t>
  </si>
  <si>
    <t>BA7282</t>
  </si>
  <si>
    <t>LAX</t>
  </si>
  <si>
    <t>BA8942</t>
  </si>
  <si>
    <t>BA4878</t>
  </si>
  <si>
    <t>IST</t>
  </si>
  <si>
    <t>BA8924</t>
  </si>
  <si>
    <t>AMS</t>
  </si>
  <si>
    <t>BA8213</t>
  </si>
  <si>
    <t>MUC</t>
  </si>
  <si>
    <t>BA4424</t>
  </si>
  <si>
    <t>FRA</t>
  </si>
  <si>
    <t>BA3137</t>
  </si>
  <si>
    <t>CDG</t>
  </si>
  <si>
    <t>BA5903</t>
  </si>
  <si>
    <t>ORD</t>
  </si>
  <si>
    <t>BA5211</t>
  </si>
  <si>
    <t>BA7116</t>
  </si>
  <si>
    <t>BA1896</t>
  </si>
  <si>
    <t>BA7734</t>
  </si>
  <si>
    <t>VIE</t>
  </si>
  <si>
    <t>BA5497</t>
  </si>
  <si>
    <t>BA1493</t>
  </si>
  <si>
    <t>BA9840</t>
  </si>
  <si>
    <t>BA4954</t>
  </si>
  <si>
    <t>British Airways T3 — Lounge Eligibility Model | Justification Sheet</t>
  </si>
  <si>
    <t>Q1 — How did you choose to group the flights?</t>
  </si>
  <si>
    <t>Flights are grouped using two orthogonal dimensions that directly predict lounge demand:
1. HAUL TYPE (Short vs Long): Long-haul flights carry First Class cabins and attract a larger share of Gold Guest List / Executive Club premium members. Short-haul flights at T3 are predominantly A320-family aircraft with no First Class, resulting in a materially different tier profile.
2. TIME-OF-DAY BAND (Morning / Lunchtime / Afternoon / Evening): Departure time is a strong proxy for passenger composition. Morning slots (06:00–11:59) are dominated by business travellers with high lounge propensity; Evening slots (18:00–23:59) capture post-work high-yield passengers on long-haul routes. Lunchtime (12:00–13:59) and Afternoon (14:00–17:59) are more leisure-heavy.
This 2×4 matrix yields 8 categories (SH-MO, SH-LN, SH-AF, SH-EV, LH-MO, LH-LN, LH-AF, LH-EV), each represented by hundreds of real flight records, giving statistically robust averages.</t>
  </si>
  <si>
    <t>Q2 — Why do your groupings make sense for this type of modelling?</t>
  </si>
  <si>
    <t>The haul × time-of-day framework is appropriate for three reasons:
a) OPERATIONALLY MEANINGFUL: Airlines and airports already segment passengers this way for resource planning (catering, gate staff, lounge staffing). The categories map directly onto BA's own data fields (HAUL, TIME_OF_DAY).
b) EMPIRICALLY VALIDATED: Analysis of the 10,000-flight dataset confirms that tier-eligible percentages are stable within each group. For example, Short-haul flights consistently show ~4.3–4.6% Tier 2 eligibility regardless of destination, while Long-haul sits at ~2.7–2.8%. Splitting by region or aircraft type would add complexity without improving accuracy.
c) SCALABLE: Any future flight can be instantly classified by looking up its haul and departure time — no destination-specific logic is required. The model can be applied to winter schedules, charter operations, or new route launches without recalibration, as long as the haul / time profile is known.
d) CONSISTENT WITH BA LOUNGE POLICY: BA's own Exec Club tiers map to aircraft cabin availability, which is fundamentally a haul-type variable.</t>
  </si>
  <si>
    <t>Q3 — What assumptions did you make, and what is the reasoning behind them?</t>
  </si>
  <si>
    <t>ASSUMPTION 1 — Tier Percentages Derived from Actual Data
Rather than estimating, the Tier 1/2/3 percentages are calculated directly from TIER1/2/3_ELIGIBLE_PAX as a share of total seats per flight, averaged across each category. This makes the model data-driven, not subjective.
ASSUMPTION 2 — Tier 1 is Hypothetical
There is no Concorde Room at Terminal 3 currently. Tier 1 percentages (~0.2–0.4%) represent Gold Guest List and First Class-equivalent passengers who would qualify if such a facility existed. This is retained as a planning signal for future infrastructure investment decisions.
ASSUMPTION 3 — Lounge Uptake ≈ Eligibility
The model assumes all eligible passengers use the lounge (100% uptake). In practice, uptake is typically 60–80% due to tight connections, preference, or time constraints. BA may wish to apply a 0.70 utilisation discount to produce 'lounge usage' estimates from 'eligibility' estimates.
ASSUMPTION 4 — Average Seat Count as Proxy
Average seats per category (180 for short-haul, ~291 for long-haul) are used as the denominator. This is appropriate for aggregate planning; individual flights may vary ±10% based on aircraft sub-type (A319 vs A321, B777 vs A380).
ASSUMPTION 5 — Stable Seasonal Profile
Summer schedule percentages are assumed to be broadly representative. Winter schedules may show a shift toward business travel, slightly increasing Tier 2 percentages in morning long-haul slots.</t>
  </si>
  <si>
    <t>Q4 — How can your model scale to future or unknown schedules?</t>
  </si>
  <si>
    <t>The lookup table is designed as a reusable, forward-compatible tool:
STEP 1 — CLASSIFY: For any new flight, identify (a) Haul type from route distance or HAUL field, and (b) Time-of-Day band from departure time. These two fields are available in any standard BA scheduling system.
STEP 2 — LOOK UP: Match to the 8-row lookup table (SH-MO → LH-EV) to retrieve Tier 1/2/3 eligibility percentages.
STEP 3 — APPLY: Multiply the percentage by expected total pax load (use booked seats × typical load factor, e.g. 85%) to get expected lounge demand per flight.
STEP 4 — AGGREGATE: Sum across all departures in a given hour or day to estimate peak lounge demand for capacity planning.
SCALING CONSIDERATIONS:
• New routes: Assign to haul category by flight distance (&lt;4 hrs = Short, ≥4 hrs = Long). No destination-specific calibration needed.
• New terminals: The same logic applies; only the seat-count baseline changes if a different fleet mix operates.
• Dynamic updates: As new seasonal data arrives, the 8 percentage cells in the lookup table can be refreshed — all downstream calculations auto-update via Excel formulas.
• Winter schedule: A winter version can be created by re-running the same analysis on a winter dataset and replacing the percentage assumptions, while keeping the model structure identical.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</si>
</sst>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10"/>
      <color rgb="FF001F5B"/>
      <name val="Arial"/>
    </font>
    <font>
      <sz val="10"/>
      <color rgb="FF1A1A1A"/>
      <name val="Arial"/>
    </font>
    <font>
      <b/>
      <i/>
      <sz val="9"/>
      <color rgb="FFC01820"/>
      <name val="Arial"/>
    </font>
    <font>
      <b/>
      <sz val="10"/>
      <color rgb="FFFFFFFF"/>
      <name val="Arial"/>
    </font>
    <font>
      <b/>
      <sz val="10"/>
      <color rgb="FFB8860B"/>
      <name val="Arial"/>
    </font>
    <font>
      <b/>
      <sz val="10"/>
      <color rgb="FF1A5276"/>
      <name val="Arial"/>
    </font>
    <font>
      <b/>
      <sz val="10"/>
      <color rgb="FF1D6A39"/>
      <name val="Arial"/>
    </font>
    <font>
      <i/>
      <sz val="9"/>
      <color rgb="FF444444"/>
      <name val="Arial"/>
    </font>
    <font>
      <b/>
      <sz val="12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0A3472"/>
      </patternFill>
    </fill>
    <fill>
      <patternFill patternType="solid">
        <fgColor rgb="FFC01820"/>
      </patternFill>
    </fill>
    <fill>
      <patternFill patternType="solid">
        <fgColor rgb="FFD6E4F0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FFF0F0"/>
      </patternFill>
    </fill>
    <fill>
      <patternFill patternType="solid">
        <fgColor rgb="FFFFF8E7"/>
      </patternFill>
    </fill>
    <fill>
      <patternFill patternType="solid">
        <fgColor rgb="FFEFF6FF"/>
      </patternFill>
    </fill>
    <fill>
      <patternFill patternType="solid">
        <fgColor rgb="FFEAFAF1"/>
      </patternFill>
    </fill>
    <fill>
      <patternFill patternType="solid">
        <fgColor rgb="FFE8D5F0"/>
      </patternFill>
    </fill>
    <fill>
      <patternFill patternType="solid">
        <fgColor rgb="FFE8ECF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1F5B"/>
      </left>
      <right style="medium">
        <color rgb="FF001F5B"/>
      </right>
      <top style="medium">
        <color rgb="FF001F5B"/>
      </top>
      <bottom style="medium">
        <color rgb="FF001F5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1" fillId="13" borderId="0" xfId="0" applyFont="1" applyFill="1" applyAlignment="1">
      <alignment horizontal="left" vertical="center" wrapText="1"/>
    </xf>
    <xf numFmtId="0" fontId="0" fillId="0" borderId="0" xfId="0"/>
    <xf numFmtId="0" fontId="11" fillId="6" borderId="0" xfId="0" applyFont="1" applyFill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opLeftCell="A58" workbookViewId="0">
      <selection activeCell="B45" sqref="B45:K45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14" customWidth="1"/>
    <col min="5" max="5" width="19" customWidth="1"/>
    <col min="6" max="7" width="12" customWidth="1"/>
    <col min="8" max="10" width="16" customWidth="1"/>
    <col min="11" max="11" width="20" customWidth="1"/>
  </cols>
  <sheetData>
    <row r="1" spans="1:11" ht="15" customHeight="1" x14ac:dyDescent="0.3"/>
    <row r="2" spans="1:11" ht="37.950000000000003" customHeight="1" x14ac:dyDescent="0.3">
      <c r="A2" s="1"/>
      <c r="B2" s="28" t="s">
        <v>0</v>
      </c>
      <c r="C2" s="24"/>
      <c r="D2" s="24"/>
      <c r="E2" s="24"/>
      <c r="F2" s="24"/>
      <c r="G2" s="24"/>
      <c r="H2" s="24"/>
      <c r="I2" s="24"/>
      <c r="J2" s="24"/>
      <c r="K2" s="24"/>
    </row>
    <row r="3" spans="1:11" ht="13.95" customHeight="1" x14ac:dyDescent="0.3">
      <c r="B3" s="29" t="s">
        <v>1</v>
      </c>
      <c r="C3" s="24"/>
      <c r="D3" s="24"/>
      <c r="E3" s="24"/>
      <c r="F3" s="24"/>
      <c r="G3" s="24"/>
      <c r="H3" s="24"/>
      <c r="I3" s="24"/>
      <c r="J3" s="24"/>
      <c r="K3" s="24"/>
    </row>
    <row r="5" spans="1:11" ht="22.05" customHeight="1" x14ac:dyDescent="0.3">
      <c r="B5" s="27" t="s">
        <v>2</v>
      </c>
      <c r="C5" s="24"/>
      <c r="D5" s="24"/>
      <c r="E5" s="24"/>
      <c r="F5" s="24"/>
      <c r="G5" s="24"/>
      <c r="H5" s="24"/>
      <c r="I5" s="24"/>
      <c r="J5" s="24"/>
      <c r="K5" s="24"/>
    </row>
    <row r="6" spans="1:11" ht="18" customHeight="1" x14ac:dyDescent="0.3">
      <c r="B6" s="2" t="s">
        <v>3</v>
      </c>
      <c r="C6" s="2" t="s">
        <v>4</v>
      </c>
      <c r="D6" s="2" t="s">
        <v>5</v>
      </c>
      <c r="E6" s="2" t="s">
        <v>6</v>
      </c>
    </row>
    <row r="7" spans="1:11" ht="46.2" customHeight="1" x14ac:dyDescent="0.3">
      <c r="B7" s="3" t="s">
        <v>7</v>
      </c>
      <c r="C7" s="3" t="s">
        <v>8</v>
      </c>
      <c r="D7" s="3" t="s">
        <v>7</v>
      </c>
      <c r="E7" s="4" t="s">
        <v>9</v>
      </c>
    </row>
    <row r="8" spans="1:11" ht="56.4" customHeight="1" x14ac:dyDescent="0.3">
      <c r="B8" s="5" t="s">
        <v>10</v>
      </c>
      <c r="C8" s="5" t="s">
        <v>11</v>
      </c>
      <c r="D8" s="5" t="s">
        <v>10</v>
      </c>
      <c r="E8" s="6" t="s">
        <v>12</v>
      </c>
    </row>
    <row r="9" spans="1:11" ht="58.8" customHeight="1" x14ac:dyDescent="0.3">
      <c r="B9" s="3" t="s">
        <v>13</v>
      </c>
      <c r="C9" s="3" t="s">
        <v>14</v>
      </c>
      <c r="D9" s="3" t="s">
        <v>13</v>
      </c>
      <c r="E9" s="4" t="s">
        <v>15</v>
      </c>
    </row>
    <row r="10" spans="1:11" ht="69.599999999999994" customHeight="1" x14ac:dyDescent="0.3">
      <c r="B10" s="5" t="s">
        <v>16</v>
      </c>
      <c r="C10" s="5" t="s">
        <v>17</v>
      </c>
      <c r="D10" s="5" t="s">
        <v>16</v>
      </c>
      <c r="E10" s="6" t="s">
        <v>18</v>
      </c>
    </row>
    <row r="12" spans="1:11" ht="22.05" customHeight="1" x14ac:dyDescent="0.3">
      <c r="B12" s="27" t="s">
        <v>19</v>
      </c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28.05" customHeight="1" x14ac:dyDescent="0.3">
      <c r="B13" s="26" t="s">
        <v>20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42" customHeight="1" x14ac:dyDescent="0.3">
      <c r="A14" s="7" t="s">
        <v>21</v>
      </c>
      <c r="B14" s="7" t="s">
        <v>22</v>
      </c>
      <c r="C14" s="7" t="s">
        <v>3</v>
      </c>
      <c r="D14" s="7" t="s">
        <v>23</v>
      </c>
      <c r="E14" s="7" t="s">
        <v>24</v>
      </c>
      <c r="F14" s="7" t="s">
        <v>25</v>
      </c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</row>
    <row r="15" spans="1:11" ht="19.95" customHeight="1" x14ac:dyDescent="0.3">
      <c r="A15" s="8" t="s">
        <v>31</v>
      </c>
      <c r="B15" s="2" t="s">
        <v>32</v>
      </c>
      <c r="C15" s="3" t="s">
        <v>7</v>
      </c>
      <c r="D15" s="9">
        <v>180</v>
      </c>
      <c r="E15" s="10">
        <v>3.0000000000000001E-3</v>
      </c>
      <c r="F15" s="11">
        <v>4.3999999999999997E-2</v>
      </c>
      <c r="G15" s="12">
        <v>0.16700000000000001</v>
      </c>
      <c r="H15" s="13">
        <f t="shared" ref="H15:H22" si="0">ROUND(D15*E15,1)</f>
        <v>0.5</v>
      </c>
      <c r="I15" s="13">
        <f t="shared" ref="I15:I22" si="1">ROUND(D15*F15,1)</f>
        <v>7.9</v>
      </c>
      <c r="J15" s="13">
        <f t="shared" ref="J15:J22" si="2">ROUND(D15*G15,1)</f>
        <v>30.1</v>
      </c>
      <c r="K15" s="14" t="s">
        <v>33</v>
      </c>
    </row>
    <row r="16" spans="1:11" ht="19.95" customHeight="1" x14ac:dyDescent="0.3">
      <c r="A16" s="15" t="s">
        <v>34</v>
      </c>
      <c r="B16" s="2" t="s">
        <v>32</v>
      </c>
      <c r="C16" s="5" t="s">
        <v>10</v>
      </c>
      <c r="D16" s="16">
        <v>180</v>
      </c>
      <c r="E16" s="10">
        <v>4.0000000000000001E-3</v>
      </c>
      <c r="F16" s="11">
        <v>4.5999999999999999E-2</v>
      </c>
      <c r="G16" s="12">
        <v>0.17299999999999999</v>
      </c>
      <c r="H16" s="17">
        <f t="shared" si="0"/>
        <v>0.7</v>
      </c>
      <c r="I16" s="17">
        <f t="shared" si="1"/>
        <v>8.3000000000000007</v>
      </c>
      <c r="J16" s="17">
        <f t="shared" si="2"/>
        <v>31.1</v>
      </c>
      <c r="K16" s="18" t="s">
        <v>35</v>
      </c>
    </row>
    <row r="17" spans="1:11" ht="19.95" customHeight="1" x14ac:dyDescent="0.3">
      <c r="A17" s="8" t="s">
        <v>36</v>
      </c>
      <c r="B17" s="2" t="s">
        <v>32</v>
      </c>
      <c r="C17" s="3" t="s">
        <v>13</v>
      </c>
      <c r="D17" s="9">
        <v>180</v>
      </c>
      <c r="E17" s="10">
        <v>3.0000000000000001E-3</v>
      </c>
      <c r="F17" s="11">
        <v>4.2999999999999997E-2</v>
      </c>
      <c r="G17" s="12">
        <v>0.16600000000000001</v>
      </c>
      <c r="H17" s="13">
        <f t="shared" si="0"/>
        <v>0.5</v>
      </c>
      <c r="I17" s="13">
        <f t="shared" si="1"/>
        <v>7.7</v>
      </c>
      <c r="J17" s="13">
        <f t="shared" si="2"/>
        <v>29.9</v>
      </c>
      <c r="K17" s="14" t="s">
        <v>37</v>
      </c>
    </row>
    <row r="18" spans="1:11" ht="19.95" customHeight="1" x14ac:dyDescent="0.3">
      <c r="A18" s="15" t="s">
        <v>38</v>
      </c>
      <c r="B18" s="2" t="s">
        <v>32</v>
      </c>
      <c r="C18" s="5" t="s">
        <v>16</v>
      </c>
      <c r="D18" s="16">
        <v>180</v>
      </c>
      <c r="E18" s="10">
        <v>3.0000000000000001E-3</v>
      </c>
      <c r="F18" s="11">
        <v>4.3999999999999997E-2</v>
      </c>
      <c r="G18" s="12">
        <v>0.17</v>
      </c>
      <c r="H18" s="17">
        <f t="shared" si="0"/>
        <v>0.5</v>
      </c>
      <c r="I18" s="17">
        <f t="shared" si="1"/>
        <v>7.9</v>
      </c>
      <c r="J18" s="17">
        <f t="shared" si="2"/>
        <v>30.6</v>
      </c>
      <c r="K18" s="18" t="s">
        <v>39</v>
      </c>
    </row>
    <row r="19" spans="1:11" ht="19.95" customHeight="1" x14ac:dyDescent="0.3">
      <c r="A19" s="8" t="s">
        <v>40</v>
      </c>
      <c r="B19" s="19" t="s">
        <v>41</v>
      </c>
      <c r="C19" s="3" t="s">
        <v>7</v>
      </c>
      <c r="D19" s="9">
        <v>292</v>
      </c>
      <c r="E19" s="10">
        <v>2E-3</v>
      </c>
      <c r="F19" s="11">
        <v>2.8000000000000001E-2</v>
      </c>
      <c r="G19" s="12">
        <v>0.106</v>
      </c>
      <c r="H19" s="13">
        <f t="shared" si="0"/>
        <v>0.6</v>
      </c>
      <c r="I19" s="13">
        <f t="shared" si="1"/>
        <v>8.1999999999999993</v>
      </c>
      <c r="J19" s="13">
        <f t="shared" si="2"/>
        <v>31</v>
      </c>
      <c r="K19" s="14" t="s">
        <v>42</v>
      </c>
    </row>
    <row r="20" spans="1:11" ht="19.95" customHeight="1" x14ac:dyDescent="0.3">
      <c r="A20" s="15" t="s">
        <v>43</v>
      </c>
      <c r="B20" s="19" t="s">
        <v>41</v>
      </c>
      <c r="C20" s="5" t="s">
        <v>10</v>
      </c>
      <c r="D20" s="16">
        <v>290</v>
      </c>
      <c r="E20" s="10">
        <v>2E-3</v>
      </c>
      <c r="F20" s="11">
        <v>2.7E-2</v>
      </c>
      <c r="G20" s="12">
        <v>0.104</v>
      </c>
      <c r="H20" s="17">
        <f t="shared" si="0"/>
        <v>0.6</v>
      </c>
      <c r="I20" s="17">
        <f t="shared" si="1"/>
        <v>7.8</v>
      </c>
      <c r="J20" s="17">
        <f t="shared" si="2"/>
        <v>30.2</v>
      </c>
      <c r="K20" s="18" t="s">
        <v>44</v>
      </c>
    </row>
    <row r="21" spans="1:11" ht="19.95" customHeight="1" x14ac:dyDescent="0.3">
      <c r="A21" s="8" t="s">
        <v>45</v>
      </c>
      <c r="B21" s="19" t="s">
        <v>41</v>
      </c>
      <c r="C21" s="3" t="s">
        <v>13</v>
      </c>
      <c r="D21" s="9">
        <v>293</v>
      </c>
      <c r="E21" s="10">
        <v>2E-3</v>
      </c>
      <c r="F21" s="11">
        <v>2.8000000000000001E-2</v>
      </c>
      <c r="G21" s="12">
        <v>0.105</v>
      </c>
      <c r="H21" s="13">
        <f t="shared" si="0"/>
        <v>0.6</v>
      </c>
      <c r="I21" s="13">
        <f t="shared" si="1"/>
        <v>8.1999999999999993</v>
      </c>
      <c r="J21" s="13">
        <f t="shared" si="2"/>
        <v>30.8</v>
      </c>
      <c r="K21" s="14" t="s">
        <v>46</v>
      </c>
    </row>
    <row r="22" spans="1:11" ht="19.95" customHeight="1" x14ac:dyDescent="0.3">
      <c r="A22" s="15" t="s">
        <v>47</v>
      </c>
      <c r="B22" s="19" t="s">
        <v>41</v>
      </c>
      <c r="C22" s="5" t="s">
        <v>16</v>
      </c>
      <c r="D22" s="16">
        <v>292</v>
      </c>
      <c r="E22" s="10">
        <v>2E-3</v>
      </c>
      <c r="F22" s="11">
        <v>2.7E-2</v>
      </c>
      <c r="G22" s="12">
        <v>0.10299999999999999</v>
      </c>
      <c r="H22" s="17">
        <f t="shared" si="0"/>
        <v>0.6</v>
      </c>
      <c r="I22" s="17">
        <f t="shared" si="1"/>
        <v>7.9</v>
      </c>
      <c r="J22" s="17">
        <f t="shared" si="2"/>
        <v>30.1</v>
      </c>
      <c r="K22" s="18" t="s">
        <v>48</v>
      </c>
    </row>
    <row r="25" spans="1:11" ht="22.05" customHeight="1" x14ac:dyDescent="0.3">
      <c r="B25" s="27" t="s">
        <v>49</v>
      </c>
      <c r="C25" s="24"/>
      <c r="D25" s="24"/>
      <c r="E25" s="24"/>
      <c r="F25" s="24"/>
      <c r="G25" s="24"/>
      <c r="H25" s="24"/>
      <c r="I25" s="24"/>
      <c r="J25" s="24"/>
      <c r="K25" s="24"/>
    </row>
    <row r="26" spans="1:11" ht="19.95" customHeight="1" x14ac:dyDescent="0.3">
      <c r="B26" s="25" t="s">
        <v>50</v>
      </c>
      <c r="C26" s="24"/>
      <c r="D26" s="24"/>
      <c r="E26" s="24"/>
      <c r="F26" s="24"/>
      <c r="G26" s="24"/>
      <c r="H26" s="24"/>
      <c r="I26" s="24"/>
      <c r="J26" s="24"/>
      <c r="K26" s="24"/>
    </row>
    <row r="27" spans="1:11" ht="36" customHeight="1" x14ac:dyDescent="0.3">
      <c r="A27" s="7" t="s">
        <v>51</v>
      </c>
      <c r="B27" s="7" t="s">
        <v>52</v>
      </c>
      <c r="C27" s="7" t="s">
        <v>53</v>
      </c>
      <c r="D27" s="7" t="s">
        <v>3</v>
      </c>
      <c r="E27" s="7" t="s">
        <v>21</v>
      </c>
      <c r="F27" s="7" t="s">
        <v>54</v>
      </c>
      <c r="G27" s="7" t="s">
        <v>55</v>
      </c>
      <c r="H27" s="7" t="s">
        <v>56</v>
      </c>
      <c r="I27" s="7" t="s">
        <v>57</v>
      </c>
      <c r="J27" s="7" t="s">
        <v>58</v>
      </c>
      <c r="K27" s="7" t="s">
        <v>59</v>
      </c>
    </row>
    <row r="28" spans="1:11" ht="18" customHeight="1" x14ac:dyDescent="0.3">
      <c r="A28" s="15" t="s">
        <v>60</v>
      </c>
      <c r="B28" s="5" t="s">
        <v>61</v>
      </c>
      <c r="C28" s="5" t="s">
        <v>41</v>
      </c>
      <c r="D28" s="5" t="s">
        <v>7</v>
      </c>
      <c r="E28" s="15" t="s">
        <v>40</v>
      </c>
      <c r="F28" s="16">
        <v>235</v>
      </c>
      <c r="G28" s="20">
        <v>2E-3</v>
      </c>
      <c r="H28" s="20">
        <v>2.8000000000000001E-2</v>
      </c>
      <c r="I28" s="20">
        <v>0.106</v>
      </c>
      <c r="J28" s="17">
        <v>6.6</v>
      </c>
      <c r="K28" s="17">
        <v>24.9</v>
      </c>
    </row>
    <row r="29" spans="1:11" ht="18" customHeight="1" x14ac:dyDescent="0.3">
      <c r="A29" s="8" t="s">
        <v>62</v>
      </c>
      <c r="B29" s="3" t="s">
        <v>61</v>
      </c>
      <c r="C29" s="3" t="s">
        <v>41</v>
      </c>
      <c r="D29" s="3" t="s">
        <v>7</v>
      </c>
      <c r="E29" s="8" t="s">
        <v>40</v>
      </c>
      <c r="F29" s="9">
        <v>235</v>
      </c>
      <c r="G29" s="21">
        <v>2E-3</v>
      </c>
      <c r="H29" s="21">
        <v>2.8000000000000001E-2</v>
      </c>
      <c r="I29" s="21">
        <v>0.106</v>
      </c>
      <c r="J29" s="13">
        <v>6.6</v>
      </c>
      <c r="K29" s="13">
        <v>24.9</v>
      </c>
    </row>
    <row r="30" spans="1:11" ht="18" customHeight="1" x14ac:dyDescent="0.3">
      <c r="A30" s="15" t="s">
        <v>63</v>
      </c>
      <c r="B30" s="5" t="s">
        <v>64</v>
      </c>
      <c r="C30" s="5" t="s">
        <v>32</v>
      </c>
      <c r="D30" s="5" t="s">
        <v>7</v>
      </c>
      <c r="E30" s="15" t="s">
        <v>31</v>
      </c>
      <c r="F30" s="16">
        <v>180</v>
      </c>
      <c r="G30" s="20">
        <v>3.0000000000000001E-3</v>
      </c>
      <c r="H30" s="20">
        <v>4.3999999999999997E-2</v>
      </c>
      <c r="I30" s="20">
        <v>0.16700000000000001</v>
      </c>
      <c r="J30" s="17">
        <v>7.9</v>
      </c>
      <c r="K30" s="17">
        <v>30.1</v>
      </c>
    </row>
    <row r="31" spans="1:11" ht="18" customHeight="1" x14ac:dyDescent="0.3">
      <c r="A31" s="8" t="s">
        <v>65</v>
      </c>
      <c r="B31" s="3" t="s">
        <v>66</v>
      </c>
      <c r="C31" s="3" t="s">
        <v>32</v>
      </c>
      <c r="D31" s="3" t="s">
        <v>7</v>
      </c>
      <c r="E31" s="8" t="s">
        <v>31</v>
      </c>
      <c r="F31" s="9">
        <v>180</v>
      </c>
      <c r="G31" s="21">
        <v>3.0000000000000001E-3</v>
      </c>
      <c r="H31" s="21">
        <v>4.3999999999999997E-2</v>
      </c>
      <c r="I31" s="21">
        <v>0.16700000000000001</v>
      </c>
      <c r="J31" s="13">
        <v>7.9</v>
      </c>
      <c r="K31" s="13">
        <v>30.1</v>
      </c>
    </row>
    <row r="32" spans="1:11" ht="18" customHeight="1" x14ac:dyDescent="0.3">
      <c r="A32" s="15" t="s">
        <v>67</v>
      </c>
      <c r="B32" s="5" t="s">
        <v>68</v>
      </c>
      <c r="C32" s="5" t="s">
        <v>32</v>
      </c>
      <c r="D32" s="5" t="s">
        <v>7</v>
      </c>
      <c r="E32" s="15" t="s">
        <v>31</v>
      </c>
      <c r="F32" s="16">
        <v>180</v>
      </c>
      <c r="G32" s="20">
        <v>3.0000000000000001E-3</v>
      </c>
      <c r="H32" s="20">
        <v>4.3999999999999997E-2</v>
      </c>
      <c r="I32" s="20">
        <v>0.16700000000000001</v>
      </c>
      <c r="J32" s="17">
        <v>7.9</v>
      </c>
      <c r="K32" s="17">
        <v>30.1</v>
      </c>
    </row>
    <row r="33" spans="1:11" ht="18" customHeight="1" x14ac:dyDescent="0.3">
      <c r="A33" s="8" t="s">
        <v>69</v>
      </c>
      <c r="B33" s="3" t="s">
        <v>70</v>
      </c>
      <c r="C33" s="3" t="s">
        <v>32</v>
      </c>
      <c r="D33" s="3" t="s">
        <v>10</v>
      </c>
      <c r="E33" s="8" t="s">
        <v>34</v>
      </c>
      <c r="F33" s="9">
        <v>180</v>
      </c>
      <c r="G33" s="21">
        <v>4.0000000000000001E-3</v>
      </c>
      <c r="H33" s="21">
        <v>4.5999999999999999E-2</v>
      </c>
      <c r="I33" s="21">
        <v>0.17299999999999999</v>
      </c>
      <c r="J33" s="13">
        <v>8.3000000000000007</v>
      </c>
      <c r="K33" s="13">
        <v>31.1</v>
      </c>
    </row>
    <row r="34" spans="1:11" ht="18" customHeight="1" x14ac:dyDescent="0.3">
      <c r="A34" s="15" t="s">
        <v>71</v>
      </c>
      <c r="B34" s="5" t="s">
        <v>72</v>
      </c>
      <c r="C34" s="5" t="s">
        <v>32</v>
      </c>
      <c r="D34" s="5" t="s">
        <v>10</v>
      </c>
      <c r="E34" s="15" t="s">
        <v>34</v>
      </c>
      <c r="F34" s="16">
        <v>180</v>
      </c>
      <c r="G34" s="20">
        <v>4.0000000000000001E-3</v>
      </c>
      <c r="H34" s="20">
        <v>4.5999999999999999E-2</v>
      </c>
      <c r="I34" s="20">
        <v>0.17299999999999999</v>
      </c>
      <c r="J34" s="17">
        <v>8.3000000000000007</v>
      </c>
      <c r="K34" s="17">
        <v>31.1</v>
      </c>
    </row>
    <row r="35" spans="1:11" ht="18" customHeight="1" x14ac:dyDescent="0.3">
      <c r="A35" s="8" t="s">
        <v>73</v>
      </c>
      <c r="B35" s="3" t="s">
        <v>74</v>
      </c>
      <c r="C35" s="3" t="s">
        <v>41</v>
      </c>
      <c r="D35" s="3" t="s">
        <v>10</v>
      </c>
      <c r="E35" s="8" t="s">
        <v>43</v>
      </c>
      <c r="F35" s="9">
        <v>469</v>
      </c>
      <c r="G35" s="21">
        <v>2E-3</v>
      </c>
      <c r="H35" s="21">
        <v>2.7E-2</v>
      </c>
      <c r="I35" s="21">
        <v>0.104</v>
      </c>
      <c r="J35" s="13">
        <v>12.7</v>
      </c>
      <c r="K35" s="13">
        <v>48.8</v>
      </c>
    </row>
    <row r="36" spans="1:11" ht="18" customHeight="1" x14ac:dyDescent="0.3">
      <c r="A36" s="15" t="s">
        <v>75</v>
      </c>
      <c r="B36" s="5" t="s">
        <v>61</v>
      </c>
      <c r="C36" s="5" t="s">
        <v>41</v>
      </c>
      <c r="D36" s="5" t="s">
        <v>13</v>
      </c>
      <c r="E36" s="15" t="s">
        <v>45</v>
      </c>
      <c r="F36" s="16">
        <v>235</v>
      </c>
      <c r="G36" s="20">
        <v>2E-3</v>
      </c>
      <c r="H36" s="20">
        <v>2.8000000000000001E-2</v>
      </c>
      <c r="I36" s="20">
        <v>0.105</v>
      </c>
      <c r="J36" s="17">
        <v>6.6</v>
      </c>
      <c r="K36" s="17">
        <v>24.7</v>
      </c>
    </row>
    <row r="37" spans="1:11" ht="18" customHeight="1" x14ac:dyDescent="0.3">
      <c r="A37" s="8" t="s">
        <v>76</v>
      </c>
      <c r="B37" s="3" t="s">
        <v>74</v>
      </c>
      <c r="C37" s="3" t="s">
        <v>41</v>
      </c>
      <c r="D37" s="3" t="s">
        <v>13</v>
      </c>
      <c r="E37" s="8" t="s">
        <v>45</v>
      </c>
      <c r="F37" s="9">
        <v>331</v>
      </c>
      <c r="G37" s="21">
        <v>2E-3</v>
      </c>
      <c r="H37" s="21">
        <v>2.8000000000000001E-2</v>
      </c>
      <c r="I37" s="21">
        <v>0.105</v>
      </c>
      <c r="J37" s="13">
        <v>9.3000000000000007</v>
      </c>
      <c r="K37" s="13">
        <v>34.799999999999997</v>
      </c>
    </row>
    <row r="38" spans="1:11" ht="18" customHeight="1" x14ac:dyDescent="0.3">
      <c r="A38" s="15" t="s">
        <v>77</v>
      </c>
      <c r="B38" s="5" t="s">
        <v>70</v>
      </c>
      <c r="C38" s="5" t="s">
        <v>32</v>
      </c>
      <c r="D38" s="5" t="s">
        <v>13</v>
      </c>
      <c r="E38" s="15" t="s">
        <v>36</v>
      </c>
      <c r="F38" s="16">
        <v>180</v>
      </c>
      <c r="G38" s="20">
        <v>3.0000000000000001E-3</v>
      </c>
      <c r="H38" s="20">
        <v>4.2999999999999997E-2</v>
      </c>
      <c r="I38" s="20">
        <v>0.16600000000000001</v>
      </c>
      <c r="J38" s="17">
        <v>7.7</v>
      </c>
      <c r="K38" s="17">
        <v>29.9</v>
      </c>
    </row>
    <row r="39" spans="1:11" ht="18" customHeight="1" x14ac:dyDescent="0.3">
      <c r="A39" s="8" t="s">
        <v>78</v>
      </c>
      <c r="B39" s="3" t="s">
        <v>79</v>
      </c>
      <c r="C39" s="3" t="s">
        <v>32</v>
      </c>
      <c r="D39" s="3" t="s">
        <v>13</v>
      </c>
      <c r="E39" s="8" t="s">
        <v>36</v>
      </c>
      <c r="F39" s="9">
        <v>180</v>
      </c>
      <c r="G39" s="21">
        <v>3.0000000000000001E-3</v>
      </c>
      <c r="H39" s="21">
        <v>4.2999999999999997E-2</v>
      </c>
      <c r="I39" s="21">
        <v>0.16600000000000001</v>
      </c>
      <c r="J39" s="13">
        <v>7.7</v>
      </c>
      <c r="K39" s="13">
        <v>29.9</v>
      </c>
    </row>
    <row r="40" spans="1:11" ht="18" customHeight="1" x14ac:dyDescent="0.3">
      <c r="A40" s="15" t="s">
        <v>80</v>
      </c>
      <c r="B40" s="5" t="s">
        <v>64</v>
      </c>
      <c r="C40" s="5" t="s">
        <v>32</v>
      </c>
      <c r="D40" s="5" t="s">
        <v>16</v>
      </c>
      <c r="E40" s="15" t="s">
        <v>38</v>
      </c>
      <c r="F40" s="16">
        <v>180</v>
      </c>
      <c r="G40" s="20">
        <v>3.0000000000000001E-3</v>
      </c>
      <c r="H40" s="20">
        <v>4.3999999999999997E-2</v>
      </c>
      <c r="I40" s="20">
        <v>0.17</v>
      </c>
      <c r="J40" s="17">
        <v>7.9</v>
      </c>
      <c r="K40" s="17">
        <v>30.6</v>
      </c>
    </row>
    <row r="41" spans="1:11" ht="18" customHeight="1" x14ac:dyDescent="0.3">
      <c r="A41" s="8" t="s">
        <v>81</v>
      </c>
      <c r="B41" s="3" t="s">
        <v>70</v>
      </c>
      <c r="C41" s="3" t="s">
        <v>32</v>
      </c>
      <c r="D41" s="3" t="s">
        <v>16</v>
      </c>
      <c r="E41" s="8" t="s">
        <v>38</v>
      </c>
      <c r="F41" s="9">
        <v>180</v>
      </c>
      <c r="G41" s="21">
        <v>3.0000000000000001E-3</v>
      </c>
      <c r="H41" s="21">
        <v>4.3999999999999997E-2</v>
      </c>
      <c r="I41" s="21">
        <v>0.17</v>
      </c>
      <c r="J41" s="13">
        <v>7.9</v>
      </c>
      <c r="K41" s="13">
        <v>30.6</v>
      </c>
    </row>
    <row r="42" spans="1:11" ht="18" customHeight="1" x14ac:dyDescent="0.3">
      <c r="A42" s="15" t="s">
        <v>82</v>
      </c>
      <c r="B42" s="5" t="s">
        <v>66</v>
      </c>
      <c r="C42" s="5" t="s">
        <v>32</v>
      </c>
      <c r="D42" s="5" t="s">
        <v>16</v>
      </c>
      <c r="E42" s="15" t="s">
        <v>38</v>
      </c>
      <c r="F42" s="16">
        <v>180</v>
      </c>
      <c r="G42" s="20">
        <v>3.0000000000000001E-3</v>
      </c>
      <c r="H42" s="20">
        <v>4.3999999999999997E-2</v>
      </c>
      <c r="I42" s="20">
        <v>0.17</v>
      </c>
      <c r="J42" s="17">
        <v>7.9</v>
      </c>
      <c r="K42" s="17">
        <v>30.6</v>
      </c>
    </row>
    <row r="43" spans="1:11" ht="18" customHeight="1" x14ac:dyDescent="0.3">
      <c r="A43" s="8" t="s">
        <v>83</v>
      </c>
      <c r="B43" s="3" t="s">
        <v>79</v>
      </c>
      <c r="C43" s="3" t="s">
        <v>32</v>
      </c>
      <c r="D43" s="3" t="s">
        <v>16</v>
      </c>
      <c r="E43" s="8" t="s">
        <v>38</v>
      </c>
      <c r="F43" s="9">
        <v>180</v>
      </c>
      <c r="G43" s="21">
        <v>3.0000000000000001E-3</v>
      </c>
      <c r="H43" s="21">
        <v>4.3999999999999997E-2</v>
      </c>
      <c r="I43" s="21">
        <v>0.17</v>
      </c>
      <c r="J43" s="13">
        <v>7.9</v>
      </c>
      <c r="K43" s="13">
        <v>30.6</v>
      </c>
    </row>
    <row r="45" spans="1:11" ht="16.05" customHeight="1" x14ac:dyDescent="0.3">
      <c r="B45" s="23"/>
      <c r="C45" s="24"/>
      <c r="D45" s="24"/>
      <c r="E45" s="24"/>
      <c r="F45" s="24"/>
      <c r="G45" s="24"/>
      <c r="H45" s="24"/>
      <c r="I45" s="24"/>
      <c r="J45" s="24"/>
      <c r="K45" s="24"/>
    </row>
  </sheetData>
  <mergeCells count="8">
    <mergeCell ref="B2:K2"/>
    <mergeCell ref="B3:K3"/>
    <mergeCell ref="B5:K5"/>
    <mergeCell ref="B45:K45"/>
    <mergeCell ref="B26:K26"/>
    <mergeCell ref="B13:K13"/>
    <mergeCell ref="B12:K12"/>
    <mergeCell ref="B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tabSelected="1" topLeftCell="A9" workbookViewId="0">
      <selection activeCell="B16" sqref="B16:C16"/>
    </sheetView>
  </sheetViews>
  <sheetFormatPr defaultRowHeight="14.4" x14ac:dyDescent="0.3"/>
  <cols>
    <col min="1" max="1" width="5" customWidth="1"/>
    <col min="2" max="2" width="35" customWidth="1"/>
    <col min="3" max="3" width="80" customWidth="1"/>
  </cols>
  <sheetData>
    <row r="2" spans="1:3" ht="37.950000000000003" customHeight="1" x14ac:dyDescent="0.3">
      <c r="A2" s="1"/>
      <c r="B2" s="28" t="s">
        <v>84</v>
      </c>
      <c r="C2" s="24"/>
    </row>
    <row r="3" spans="1:3" ht="13.95" customHeight="1" x14ac:dyDescent="0.3"/>
    <row r="4" spans="1:3" ht="25.95" customHeight="1" x14ac:dyDescent="0.3">
      <c r="A4" s="1"/>
      <c r="B4" s="32" t="s">
        <v>85</v>
      </c>
      <c r="C4" s="24"/>
    </row>
    <row r="5" spans="1:3" ht="246" customHeight="1" x14ac:dyDescent="0.3">
      <c r="B5" s="31" t="s">
        <v>86</v>
      </c>
      <c r="C5" s="24"/>
    </row>
    <row r="7" spans="1:3" ht="25.95" customHeight="1" x14ac:dyDescent="0.3">
      <c r="A7" s="22"/>
      <c r="B7" s="30" t="s">
        <v>87</v>
      </c>
      <c r="C7" s="24"/>
    </row>
    <row r="8" spans="1:3" ht="211.8" customHeight="1" x14ac:dyDescent="0.3">
      <c r="B8" s="33" t="s">
        <v>88</v>
      </c>
      <c r="C8" s="24"/>
    </row>
    <row r="10" spans="1:3" ht="25.95" customHeight="1" x14ac:dyDescent="0.3">
      <c r="A10" s="1"/>
      <c r="B10" s="32" t="s">
        <v>89</v>
      </c>
      <c r="C10" s="24"/>
    </row>
    <row r="11" spans="1:3" ht="299.39999999999998" customHeight="1" x14ac:dyDescent="0.3">
      <c r="B11" s="31" t="s">
        <v>90</v>
      </c>
      <c r="C11" s="24"/>
    </row>
    <row r="13" spans="1:3" ht="25.95" customHeight="1" x14ac:dyDescent="0.3">
      <c r="A13" s="22"/>
      <c r="B13" s="30" t="s">
        <v>91</v>
      </c>
      <c r="C13" s="24"/>
    </row>
    <row r="14" spans="1:3" ht="306.60000000000002" customHeight="1" x14ac:dyDescent="0.3">
      <c r="B14" s="33" t="s">
        <v>92</v>
      </c>
      <c r="C14" s="24"/>
    </row>
    <row r="16" spans="1:3" ht="18" customHeight="1" x14ac:dyDescent="0.3">
      <c r="B16" s="23"/>
      <c r="C16" s="24"/>
    </row>
  </sheetData>
  <mergeCells count="10">
    <mergeCell ref="B13:C13"/>
    <mergeCell ref="B2:C2"/>
    <mergeCell ref="B16:C16"/>
    <mergeCell ref="B7:C7"/>
    <mergeCell ref="B11:C11"/>
    <mergeCell ref="B5:C5"/>
    <mergeCell ref="B10:C10"/>
    <mergeCell ref="B14:C14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Tanushree Dalvi</cp:lastModifiedBy>
  <dcterms:created xsi:type="dcterms:W3CDTF">2026-04-21T19:59:55Z</dcterms:created>
  <dcterms:modified xsi:type="dcterms:W3CDTF">2026-04-21T20:09:00Z</dcterms:modified>
</cp:coreProperties>
</file>